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log Members" sheetId="1" state="visible" r:id="rId3"/>
    <sheet name="About Dialog" sheetId="2" state="visible" r:id="rId4"/>
  </sheets>
  <definedNames>
    <definedName function="false" hidden="true" localSheetId="0" name="_xlnm._FilterDatabase" vbProcedure="false">'Dialog Members'!$A$1:$H$1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<sst xmlns="http://schemas.openxmlformats.org/spreadsheetml/2006/main" count="412" uniqueCount="280">
  <si>
    <t xml:space="preserve">Name</t>
  </si>
  <si>
    <t xml:space="preserve">Role / affiliation</t>
  </si>
  <si>
    <t xml:space="preserve">Category</t>
  </si>
  <si>
    <t xml:space="preserve">On Island Ledger</t>
  </si>
  <si>
    <t xml:space="preserve">Est. net worth</t>
  </si>
  <si>
    <t xml:space="preserve">Dialog grade</t>
  </si>
  <si>
    <t xml:space="preserve">Notes</t>
  </si>
  <si>
    <t xml:space="preserve">Source</t>
  </si>
  <si>
    <t xml:space="preserve">Auren Hoffman</t>
  </si>
  <si>
    <t xml:space="preserve">Co-founder &amp; chairman of Dialog; CEO NQB8; ex-SafeGraph, LiveRamp</t>
  </si>
  <si>
    <t xml:space="preserve">Dialog leadership</t>
  </si>
  <si>
    <t xml:space="preserve">Co-founded Dialog with Thiel in 2006</t>
  </si>
  <si>
    <t xml:space="preserve">Wired; trendingtopics.eu</t>
  </si>
  <si>
    <t xml:space="preserve">Peter Thiel</t>
  </si>
  <si>
    <t xml:space="preserve">Co-founder; Palantir, PayPal, Founders Fund</t>
  </si>
  <si>
    <t xml:space="preserve">Yes</t>
  </si>
  <si>
    <t xml:space="preserve">$27.8bn</t>
  </si>
  <si>
    <t xml:space="preserve">Founded Dialog in 2006</t>
  </si>
  <si>
    <t xml:space="preserve">Wired; THR</t>
  </si>
  <si>
    <t xml:space="preserve">Raffi Grinberg</t>
  </si>
  <si>
    <t xml:space="preserve">Executive director, Dialog</t>
  </si>
  <si>
    <t xml:space="preserve">Named as runs day-to-day operations</t>
  </si>
  <si>
    <t xml:space="preserve">Wikipedia</t>
  </si>
  <si>
    <t xml:space="preserve">Cory Booker</t>
  </si>
  <si>
    <t xml:space="preserve">US Senator (D-NJ)</t>
  </si>
  <si>
    <t xml:space="preserve">Government &amp; politics</t>
  </si>
  <si>
    <t xml:space="preserve">On both retreat and 113-name lists</t>
  </si>
  <si>
    <t xml:space="preserve">Dan Driscoll</t>
  </si>
  <si>
    <t xml:space="preserve">US Army Secretary</t>
  </si>
  <si>
    <t xml:space="preserve">Forbes</t>
  </si>
  <si>
    <t xml:space="preserve">Hallie Hoffman</t>
  </si>
  <si>
    <t xml:space="preserve">Acting chief of staff, DEA</t>
  </si>
  <si>
    <t xml:space="preserve">Jared Kushner</t>
  </si>
  <si>
    <t xml:space="preserve">Affinity Partners; Trump son-in-law</t>
  </si>
  <si>
    <t xml:space="preserve">Jared Polis</t>
  </si>
  <si>
    <t xml:space="preserve">Governor of Colorado</t>
  </si>
  <si>
    <t xml:space="preserve">Spokesperson DENIED membership; says he has not heard of the group</t>
  </si>
  <si>
    <t xml:space="preserve">THR</t>
  </si>
  <si>
    <t xml:space="preserve">Jim Himes</t>
  </si>
  <si>
    <t xml:space="preserve">US Representative (D-CT); House Intelligence</t>
  </si>
  <si>
    <t xml:space="preserve">Forbes; trendingtopics.eu</t>
  </si>
  <si>
    <t xml:space="preserve">Kaja Kallas</t>
  </si>
  <si>
    <t xml:space="preserve">VP, European Commission; former PM of Estonia</t>
  </si>
  <si>
    <t xml:space="preserve">trendingtopics.eu</t>
  </si>
  <si>
    <t xml:space="preserve">Neal Katyal</t>
  </si>
  <si>
    <t xml:space="preserve">Partner, Milbank; former Acting US Solicitor General</t>
  </si>
  <si>
    <t xml:space="preserve">Rob Hur</t>
  </si>
  <si>
    <t xml:space="preserve">Former Special Counsel, US DOJ</t>
  </si>
  <si>
    <t xml:space="preserve">Scott Bessent</t>
  </si>
  <si>
    <t xml:space="preserve">US Treasury Secretary</t>
  </si>
  <si>
    <t xml:space="preserve">Registered without a government email</t>
  </si>
  <si>
    <t xml:space="preserve">Wired; Straight Arrow News; THR</t>
  </si>
  <si>
    <t xml:space="preserve">Ted Cruz</t>
  </si>
  <si>
    <t xml:space="preserve">US Senator (R-TX)</t>
  </si>
  <si>
    <t xml:space="preserve">Straight Arrow News; THR</t>
  </si>
  <si>
    <t xml:space="preserve">Wes Moore</t>
  </si>
  <si>
    <t xml:space="preserve">Governor of Maryland</t>
  </si>
  <si>
    <t xml:space="preserve">THR; Forbes</t>
  </si>
  <si>
    <t xml:space="preserve">Alexus Grynkewich</t>
  </si>
  <si>
    <t xml:space="preserve">NATO Supreme Allied Commander Europe / US EUCOM</t>
  </si>
  <si>
    <t xml:space="preserve">Military &amp; intelligence</t>
  </si>
  <si>
    <t xml:space="preserve">Reported to have attended since 2021</t>
  </si>
  <si>
    <t xml:space="preserve">Forbes; rockolo</t>
  </si>
  <si>
    <t xml:space="preserve">Stan McChrystal</t>
  </si>
  <si>
    <t xml:space="preserve">Retired US Army general</t>
  </si>
  <si>
    <t xml:space="preserve">rockolo</t>
  </si>
  <si>
    <t xml:space="preserve">Barry Sternlicht</t>
  </si>
  <si>
    <t xml:space="preserve">Starwood Capital chairman</t>
  </si>
  <si>
    <t xml:space="preserve">Capital &amp; finance</t>
  </si>
  <si>
    <t xml:space="preserve">$3.1bn</t>
  </si>
  <si>
    <t xml:space="preserve">Art collector</t>
  </si>
  <si>
    <t xml:space="preserve">ARTnews; Forbes</t>
  </si>
  <si>
    <t xml:space="preserve">Bob Jain</t>
  </si>
  <si>
    <t xml:space="preserve">CIO, Millennium Management; Jain Family Institute</t>
  </si>
  <si>
    <t xml:space="preserve">Gaurav Kapadia</t>
  </si>
  <si>
    <t xml:space="preserve">Founder / CEO, XN</t>
  </si>
  <si>
    <t xml:space="preserve">Henry Kravis</t>
  </si>
  <si>
    <t xml:space="preserve">KKR co-founder</t>
  </si>
  <si>
    <t xml:space="preserve">$12.2bn</t>
  </si>
  <si>
    <t xml:space="preserve">Major MoMA donor / art collector</t>
  </si>
  <si>
    <t xml:space="preserve">Joe Lonsdale</t>
  </si>
  <si>
    <t xml:space="preserve">Palantir co-founder; 8VC</t>
  </si>
  <si>
    <t xml:space="preserve">$2.8bn</t>
  </si>
  <si>
    <t xml:space="preserve">Co-founded Palantir with Thiel</t>
  </si>
  <si>
    <t xml:space="preserve">John Arnold</t>
  </si>
  <si>
    <t xml:space="preserve">Arnold Ventures; ex-Enron trader</t>
  </si>
  <si>
    <t xml:space="preserve">Karen Karniol-Tambour</t>
  </si>
  <si>
    <t xml:space="preserve">Co-CIO, Bridgewater Associates</t>
  </si>
  <si>
    <t xml:space="preserve">Marcos Galperin</t>
  </si>
  <si>
    <t xml:space="preserve">MercadoLibre founder / CEO</t>
  </si>
  <si>
    <t xml:space="preserve">$6.8bn</t>
  </si>
  <si>
    <t xml:space="preserve">Mike Cannon-Brookes</t>
  </si>
  <si>
    <t xml:space="preserve">Atlassian co-founder</t>
  </si>
  <si>
    <t xml:space="preserve">$7.7bn</t>
  </si>
  <si>
    <t xml:space="preserve">Nicolas Berggruen</t>
  </si>
  <si>
    <t xml:space="preserve">Berggruen Institute; investor</t>
  </si>
  <si>
    <t xml:space="preserve">$2.9bn</t>
  </si>
  <si>
    <t xml:space="preserve">Art world figure</t>
  </si>
  <si>
    <t xml:space="preserve">ARTnews</t>
  </si>
  <si>
    <t xml:space="preserve">Pete Briger</t>
  </si>
  <si>
    <t xml:space="preserve">Principal, Fortress Investment Group</t>
  </si>
  <si>
    <t xml:space="preserve">Peter Brown</t>
  </si>
  <si>
    <t xml:space="preserve">CEO, Renaissance Technologies</t>
  </si>
  <si>
    <t xml:space="preserve">Randy Kroszner</t>
  </si>
  <si>
    <t xml:space="preserve">Former Federal Reserve governor</t>
  </si>
  <si>
    <t xml:space="preserve">Scott Cook</t>
  </si>
  <si>
    <t xml:space="preserve">Intuit co-founder</t>
  </si>
  <si>
    <t xml:space="preserve">$4.4bn</t>
  </si>
  <si>
    <t xml:space="preserve">Forbes; Straight Arrow News</t>
  </si>
  <si>
    <t xml:space="preserve">Astro Teller</t>
  </si>
  <si>
    <t xml:space="preserve">Captain of Moonshots, X (Google)</t>
  </si>
  <si>
    <t xml:space="preserve">Tech &amp; AI</t>
  </si>
  <si>
    <t xml:space="preserve">Bryan Johnson</t>
  </si>
  <si>
    <t xml:space="preserve">Founder / CEO, Kernel &amp; Blueprint (longevity)</t>
  </si>
  <si>
    <t xml:space="preserve">Charlie Songhurst</t>
  </si>
  <si>
    <t xml:space="preserve">Meta board member</t>
  </si>
  <si>
    <t xml:space="preserve">Elon Musk</t>
  </si>
  <si>
    <t xml:space="preserve">Tesla, SpaceX, xAI</t>
  </si>
  <si>
    <t xml:space="preserve">$1.3tn</t>
  </si>
  <si>
    <t xml:space="preserve">On the 113-name affiliate list</t>
  </si>
  <si>
    <t xml:space="preserve">Eric Schmidt</t>
  </si>
  <si>
    <t xml:space="preserve">Former Google CEO</t>
  </si>
  <si>
    <t xml:space="preserve">$40.1bn</t>
  </si>
  <si>
    <t xml:space="preserve">Documented Epstein contact; not yet a node on the Ledger</t>
  </si>
  <si>
    <t xml:space="preserve">Greg Brockman</t>
  </si>
  <si>
    <t xml:space="preserve">President, OpenAI</t>
  </si>
  <si>
    <t xml:space="preserve">THR; rockolo</t>
  </si>
  <si>
    <t xml:space="preserve">Immad Akhund</t>
  </si>
  <si>
    <t xml:space="preserve">CEO, Mercury</t>
  </si>
  <si>
    <t xml:space="preserve">Jonathan Ross</t>
  </si>
  <si>
    <t xml:space="preserve">CEO, Groq</t>
  </si>
  <si>
    <t xml:space="preserve">Manuel Bronstein</t>
  </si>
  <si>
    <t xml:space="preserve">Chief product officer, Roblox</t>
  </si>
  <si>
    <t xml:space="preserve">Michael Sellitto</t>
  </si>
  <si>
    <t xml:space="preserve">Global affairs chief, Anthropic</t>
  </si>
  <si>
    <t xml:space="preserve">Neal Mohan</t>
  </si>
  <si>
    <t xml:space="preserve">YouTube CEO</t>
  </si>
  <si>
    <t xml:space="preserve">Reid Hoffman</t>
  </si>
  <si>
    <t xml:space="preserve">LinkedIn co-founder; Greylock Partners</t>
  </si>
  <si>
    <t xml:space="preserve">$2.7bn</t>
  </si>
  <si>
    <t xml:space="preserve">Ryan Graves</t>
  </si>
  <si>
    <t xml:space="preserve">Former Uber CEO</t>
  </si>
  <si>
    <t xml:space="preserve">Nominated Josh Brolin for membership</t>
  </si>
  <si>
    <t xml:space="preserve">Sarah Bond</t>
  </si>
  <si>
    <t xml:space="preserve">President of Xbox, Microsoft</t>
  </si>
  <si>
    <t xml:space="preserve">Severin Hacker</t>
  </si>
  <si>
    <t xml:space="preserve">Co-founder / CTO, Duolingo</t>
  </si>
  <si>
    <t xml:space="preserve">tildes.net</t>
  </si>
  <si>
    <t xml:space="preserve">Strauss Zelnick</t>
  </si>
  <si>
    <t xml:space="preserve">CEO, Take-Two Interactive</t>
  </si>
  <si>
    <t xml:space="preserve">Forum-reported; not yet confirmed in primary coverage</t>
  </si>
  <si>
    <t xml:space="preserve">ResetEra (unverified)</t>
  </si>
  <si>
    <t xml:space="preserve">Tom Lue</t>
  </si>
  <si>
    <t xml:space="preserve">General counsel, Google DeepMind</t>
  </si>
  <si>
    <t xml:space="preserve">Adam Grant</t>
  </si>
  <si>
    <t xml:space="preserve">Wharton organizational psychologist; author</t>
  </si>
  <si>
    <t xml:space="preserve">Media &amp; intellectuals</t>
  </si>
  <si>
    <t xml:space="preserve">Anne-Marie Slaughter</t>
  </si>
  <si>
    <t xml:space="preserve">CEO, New America; former US State Dept</t>
  </si>
  <si>
    <t xml:space="preserve">Bret Stephens</t>
  </si>
  <si>
    <t xml:space="preserve">New York Times columnist</t>
  </si>
  <si>
    <t xml:space="preserve">Ezra Klein</t>
  </si>
  <si>
    <t xml:space="preserve">New York Times columnist / podcaster</t>
  </si>
  <si>
    <t xml:space="preserve">THR; Wired</t>
  </si>
  <si>
    <t xml:space="preserve">Garry Kasparov</t>
  </si>
  <si>
    <t xml:space="preserve">Former World Chess Champion; activist</t>
  </si>
  <si>
    <t xml:space="preserve">rockolo; trendingtopics.eu</t>
  </si>
  <si>
    <t xml:space="preserve">Jonathan Haidt</t>
  </si>
  <si>
    <t xml:space="preserve">NYU Stern professor; author (The Anxious Generation)</t>
  </si>
  <si>
    <t xml:space="preserve">tildes.net; rockolo</t>
  </si>
  <si>
    <t xml:space="preserve">Lori Gottlieb</t>
  </si>
  <si>
    <t xml:space="preserve">Author / psychotherapist</t>
  </si>
  <si>
    <t xml:space="preserve">Nicholas Thompson</t>
  </si>
  <si>
    <t xml:space="preserve">CEO, The Atlantic</t>
  </si>
  <si>
    <t xml:space="preserve">THR; trendingtopics.eu</t>
  </si>
  <si>
    <t xml:space="preserve">Peggy Hamburg</t>
  </si>
  <si>
    <t xml:space="preserve">Former Commissioner, US FDA</t>
  </si>
  <si>
    <t xml:space="preserve">Peter Attia</t>
  </si>
  <si>
    <t xml:space="preserve">Physician; longevity author (Outlive)</t>
  </si>
  <si>
    <t xml:space="preserve">Also a node on the Island Ledger (named ~1,700x in Epstein files)</t>
  </si>
  <si>
    <t xml:space="preserve">Richard Haass</t>
  </si>
  <si>
    <t xml:space="preserve">Former president, Council on Foreign Relations</t>
  </si>
  <si>
    <t xml:space="preserve">Rick Warren</t>
  </si>
  <si>
    <t xml:space="preserve">Evangelical pastor; author (Saddleback Church)</t>
  </si>
  <si>
    <t xml:space="preserve">Sam Harris</t>
  </si>
  <si>
    <t xml:space="preserve">Podcast host (Making Sense); author</t>
  </si>
  <si>
    <t xml:space="preserve">Straight Arrow News; trendingtopics.eu</t>
  </si>
  <si>
    <t xml:space="preserve">Souad Mekhennet</t>
  </si>
  <si>
    <t xml:space="preserve">Washington Post reporter</t>
  </si>
  <si>
    <t xml:space="preserve">Steven Pinker</t>
  </si>
  <si>
    <t xml:space="preserve">Harvard psychologist; author</t>
  </si>
  <si>
    <t xml:space="preserve">Also a node on the Island Ledger (Epstein-funded salons)</t>
  </si>
  <si>
    <t xml:space="preserve">rockolo; ResetEra</t>
  </si>
  <si>
    <t xml:space="preserve">Tim Ferriss</t>
  </si>
  <si>
    <t xml:space="preserve">Author / investor</t>
  </si>
  <si>
    <t xml:space="preserve">Jonathan Greenblatt</t>
  </si>
  <si>
    <t xml:space="preserve">Chief executive, Anti-Defamation League</t>
  </si>
  <si>
    <t xml:space="preserve">Institutions / civic</t>
  </si>
  <si>
    <t xml:space="preserve">Jonathan Levin</t>
  </si>
  <si>
    <t xml:space="preserve">President, Stanford University</t>
  </si>
  <si>
    <t xml:space="preserve">Stanford Daily</t>
  </si>
  <si>
    <t xml:space="preserve">Peter Goettler</t>
  </si>
  <si>
    <t xml:space="preserve">President, Cato Institute</t>
  </si>
  <si>
    <t xml:space="preserve">Roger Myerson</t>
  </si>
  <si>
    <t xml:space="preserve">Nobel laureate economist (Chicago)</t>
  </si>
  <si>
    <t xml:space="preserve">Ryan Stowers</t>
  </si>
  <si>
    <t xml:space="preserve">Executive director, Charles Koch Foundation</t>
  </si>
  <si>
    <t xml:space="preserve">Benj Pasek</t>
  </si>
  <si>
    <t xml:space="preserve">Composer-producer (La La Land, The Greatest Showman)</t>
  </si>
  <si>
    <t xml:space="preserve">Entertainment</t>
  </si>
  <si>
    <t xml:space="preserve">Eva Price</t>
  </si>
  <si>
    <t xml:space="preserve">CEO, Maximum Entertainment Productions</t>
  </si>
  <si>
    <t xml:space="preserve">Isaac Lee</t>
  </si>
  <si>
    <t xml:space="preserve">Chairman &amp; CEO, Hybe America</t>
  </si>
  <si>
    <t xml:space="preserve">Joseph Gordon-Levitt</t>
  </si>
  <si>
    <t xml:space="preserve">Actor</t>
  </si>
  <si>
    <t xml:space="preserve">Josh Brolin</t>
  </si>
  <si>
    <t xml:space="preserve">C</t>
  </si>
  <si>
    <t xml:space="preserve">First-timer; nominated by Ryan Graves; spokesperson said he would 'like to know what he got himself into'</t>
  </si>
  <si>
    <t xml:space="preserve">Scooter Braun</t>
  </si>
  <si>
    <t xml:space="preserve">Music manager; Hybe America</t>
  </si>
  <si>
    <t xml:space="preserve">Forbes; THR</t>
  </si>
  <si>
    <t xml:space="preserve">Scott Belsky</t>
  </si>
  <si>
    <t xml:space="preserve">Partner, A24</t>
  </si>
  <si>
    <t xml:space="preserve">Sophia Bush</t>
  </si>
  <si>
    <t xml:space="preserve">Actress / activist</t>
  </si>
  <si>
    <t xml:space="preserve">Teresa Hsiao</t>
  </si>
  <si>
    <t xml:space="preserve">Writer-producer (Family Guy, American Dad)</t>
  </si>
  <si>
    <t xml:space="preserve">A</t>
  </si>
  <si>
    <t xml:space="preserve">Registered to network within her industry</t>
  </si>
  <si>
    <t xml:space="preserve">Zach Shields</t>
  </si>
  <si>
    <t xml:space="preserve">Executive producer / writer (Gladys, Godzilla)</t>
  </si>
  <si>
    <t xml:space="preserve">Peter's Dialog — reference database</t>
  </si>
  <si>
    <t xml:space="preserve">Companion data for the Island Ledger. Compiled 19 June 2026.</t>
  </si>
  <si>
    <t xml:space="preserve">The organisation</t>
  </si>
  <si>
    <t xml:space="preserve">Dialog</t>
  </si>
  <si>
    <t xml:space="preserve">Founded</t>
  </si>
  <si>
    <t xml:space="preserve">2006, by Peter Thiel and Auren Hoffman</t>
  </si>
  <si>
    <t xml:space="preserve">Leadership</t>
  </si>
  <si>
    <t xml:space="preserve">Auren Hoffman (chairman); Raffi Grinberg (executive director)</t>
  </si>
  <si>
    <t xml:space="preserve">Model</t>
  </si>
  <si>
    <t xml:space="preserve">Invitation-only, off-the-record society; compared to the Bilderberg Group and World Economic Forum</t>
  </si>
  <si>
    <t xml:space="preserve">2026 retreat</t>
  </si>
  <si>
    <t xml:space="preserve">12–16 August 2026, at an estate near Dublin, Ireland</t>
  </si>
  <si>
    <t xml:space="preserve">Expansion</t>
  </si>
  <si>
    <t xml:space="preserve">Building a permanent campus in the Washington DC suburbs (reported by Axios, 2025)</t>
  </si>
  <si>
    <t xml:space="preserve">Dating feature</t>
  </si>
  <si>
    <t xml:space="preserve">Members-only matchmaking site at dating.dialog.org ('meaningful connections for exceptional people')</t>
  </si>
  <si>
    <t xml:space="preserve">Vetting</t>
  </si>
  <si>
    <t xml:space="preserve">Applicants graded (A to C) on influence, qualifications and who recommended them</t>
  </si>
  <si>
    <t xml:space="preserve">The leak</t>
  </si>
  <si>
    <t xml:space="preserve">Broke</t>
  </si>
  <si>
    <t xml:space="preserve">mid-June 2026 (reported 15–17 June)</t>
  </si>
  <si>
    <t xml:space="preserve">By</t>
  </si>
  <si>
    <t xml:space="preserve">Swiss hacktivist maia arson crimew (also exposed the US No-Fly List in 2023), via an anonymous tip</t>
  </si>
  <si>
    <t xml:space="preserve">How</t>
  </si>
  <si>
    <t xml:space="preserve">Membership directory and registration data left exposed in the code of Dialog's own website</t>
  </si>
  <si>
    <t xml:space="preserve">Verified by</t>
  </si>
  <si>
    <t xml:space="preserve">Wired, which independently confirmed the documents</t>
  </si>
  <si>
    <t xml:space="preserve">Scope</t>
  </si>
  <si>
    <t xml:space="preserve">222 people registered for the 2026 retreat (87 first-timers) + 113 names embedded in the site code</t>
  </si>
  <si>
    <t xml:space="preserve">Data exposed</t>
  </si>
  <si>
    <t xml:space="preserve">Names, employers, emails, phone numbers, birthdates, emergency contacts, bios, 2031 predictions, 'looking for love' flags</t>
  </si>
  <si>
    <t xml:space="preserve">Epstein link</t>
  </si>
  <si>
    <t xml:space="preserve">Dialog surfaced in the DOJ Epstein files — Epstein appeared on the 2014 Dialog retreat invitation list (unclear whether he attended)</t>
  </si>
  <si>
    <t xml:space="preserve">Crossover with the Island Ledger</t>
  </si>
  <si>
    <t xml:space="preserve">Names on both maps</t>
  </si>
  <si>
    <t xml:space="preserve">Peter Thiel, Elon Musk, Reid Hoffman, Peter Attia, Steven Pinker</t>
  </si>
  <si>
    <t xml:space="preserve">Note</t>
  </si>
  <si>
    <t xml:space="preserve">Attia and Pinker were surfaced by the June 2026 reporting; the diagram currently rings only Thiel, Musk and Hoffman</t>
  </si>
  <si>
    <t xml:space="preserve">2026 session topics (selected)</t>
  </si>
  <si>
    <t xml:space="preserve">Navigating WWIII; Build-a-Cult; Bring Back Nuclear; Disinformation &amp; Deepfakes; Battlefield Technologies; Democracy Under Surveillance; Taiwan and the AI Race; Three Predictions in Iran; Build-a-Party; Money (Does?) Buy Happiness; How's Your Sex Life; It's Fun to Be in Charge; Research-Based Longevity Hacks</t>
  </si>
  <si>
    <t xml:space="preserve">Counts</t>
  </si>
  <si>
    <t xml:space="preserve">Named individuals in this database</t>
  </si>
  <si>
    <t xml:space="preserve">On the Island Ledger (crossover)</t>
  </si>
  <si>
    <t xml:space="preserve">Sources</t>
  </si>
  <si>
    <t xml:space="preserve">Primary</t>
  </si>
  <si>
    <t xml:space="preserve">Wired; The Hollywood Reporter; ARTnews; Straight Arrow News; Stanford Daily; Cybernews; Axios; Wikipedia</t>
  </si>
  <si>
    <t xml:space="preserve">Aggregators</t>
  </si>
  <si>
    <t xml:space="preserve">trendingtopics.eu and tildes.net reproduce the leaked directory entries; rockolo (Substack) and ResetEra are secondary — flagged in the Notes column where relied 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</si>
</sst>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A5A10"/>
      <name val="Arial"/>
      <family val="0"/>
      <charset val="1"/>
    </font>
    <font>
      <b val="true"/>
      <sz val="14"/>
      <color rgb="FF1B3A2D"/>
      <name val="Arial"/>
      <family val="0"/>
      <charset val="1"/>
    </font>
    <font>
      <i val="true"/>
      <sz val="10"/>
      <color rgb="FF5A403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2D"/>
        <bgColor rgb="FF003300"/>
      </patternFill>
    </fill>
    <fill>
      <patternFill patternType="solid">
        <fgColor rgb="FFF3E6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DB0"/>
      </left>
      <right style="thin">
        <color rgb="FFD8CDB0"/>
      </right>
      <top style="thin">
        <color rgb="FFD8CDB0"/>
      </top>
      <bottom style="thin">
        <color rgb="FFD8CD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2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0"/>
      <rgbColor rgb="FF800080"/>
      <rgbColor rgb="FF008080"/>
      <rgbColor rgb="FFD8CDB0"/>
      <rgbColor rgb="FF808080"/>
      <rgbColor rgb="FF9999FF"/>
      <rgbColor rgb="FF993366"/>
      <rgbColor rgb="FFF3E6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A4030"/>
      <rgbColor rgb="FF993300"/>
      <rgbColor rgb="FF993366"/>
      <rgbColor rgb="FF333399"/>
      <rgbColor rgb="FF1B3A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2" t="s">
        <v>10</v>
      </c>
      <c r="D2" s="4"/>
      <c r="E2" s="4"/>
      <c r="F2" s="4"/>
      <c r="G2" s="3" t="s">
        <v>11</v>
      </c>
      <c r="H2" s="2" t="s">
        <v>12</v>
      </c>
    </row>
    <row r="3" customFormat="false" ht="15" hidden="false" customHeight="false" outlineLevel="0" collapsed="false">
      <c r="A3" s="5" t="s">
        <v>13</v>
      </c>
      <c r="B3" s="6" t="s">
        <v>14</v>
      </c>
      <c r="C3" s="7" t="s">
        <v>10</v>
      </c>
      <c r="D3" s="8" t="s">
        <v>15</v>
      </c>
      <c r="E3" s="9" t="s">
        <v>16</v>
      </c>
      <c r="F3" s="9"/>
      <c r="G3" s="6" t="s">
        <v>17</v>
      </c>
      <c r="H3" s="7" t="s">
        <v>18</v>
      </c>
    </row>
    <row r="4" customFormat="false" ht="15" hidden="false" customHeight="false" outlineLevel="0" collapsed="false">
      <c r="A4" s="2" t="s">
        <v>19</v>
      </c>
      <c r="B4" s="3" t="s">
        <v>20</v>
      </c>
      <c r="C4" s="2" t="s">
        <v>10</v>
      </c>
      <c r="D4" s="4"/>
      <c r="E4" s="4"/>
      <c r="F4" s="4"/>
      <c r="G4" s="3" t="s">
        <v>21</v>
      </c>
      <c r="H4" s="2" t="s">
        <v>22</v>
      </c>
    </row>
    <row r="5" customFormat="false" ht="15" hidden="false" customHeight="false" outlineLevel="0" collapsed="false">
      <c r="A5" s="2" t="s">
        <v>23</v>
      </c>
      <c r="B5" s="3" t="s">
        <v>24</v>
      </c>
      <c r="C5" s="2" t="s">
        <v>25</v>
      </c>
      <c r="D5" s="4"/>
      <c r="E5" s="4"/>
      <c r="F5" s="4"/>
      <c r="G5" s="3" t="s">
        <v>26</v>
      </c>
      <c r="H5" s="2" t="s">
        <v>18</v>
      </c>
    </row>
    <row r="6" customFormat="false" ht="15" hidden="false" customHeight="false" outlineLevel="0" collapsed="false">
      <c r="A6" s="2" t="s">
        <v>27</v>
      </c>
      <c r="B6" s="3" t="s">
        <v>28</v>
      </c>
      <c r="C6" s="2" t="s">
        <v>25</v>
      </c>
      <c r="D6" s="4"/>
      <c r="E6" s="4"/>
      <c r="F6" s="4"/>
      <c r="G6" s="3"/>
      <c r="H6" s="2" t="s">
        <v>29</v>
      </c>
    </row>
    <row r="7" customFormat="false" ht="15" hidden="false" customHeight="false" outlineLevel="0" collapsed="false">
      <c r="A7" s="2" t="s">
        <v>30</v>
      </c>
      <c r="B7" s="3" t="s">
        <v>31</v>
      </c>
      <c r="C7" s="2" t="s">
        <v>25</v>
      </c>
      <c r="D7" s="4"/>
      <c r="E7" s="4"/>
      <c r="F7" s="4"/>
      <c r="G7" s="3"/>
      <c r="H7" s="2" t="s">
        <v>29</v>
      </c>
    </row>
    <row r="8" customFormat="false" ht="15" hidden="false" customHeight="false" outlineLevel="0" collapsed="false">
      <c r="A8" s="2" t="s">
        <v>32</v>
      </c>
      <c r="B8" s="3" t="s">
        <v>33</v>
      </c>
      <c r="C8" s="2" t="s">
        <v>25</v>
      </c>
      <c r="D8" s="4"/>
      <c r="E8" s="4"/>
      <c r="F8" s="4"/>
      <c r="G8" s="3"/>
      <c r="H8" s="2" t="s">
        <v>18</v>
      </c>
    </row>
    <row r="9" customFormat="false" ht="23.85" hidden="false" customHeight="false" outlineLevel="0" collapsed="false">
      <c r="A9" s="2" t="s">
        <v>34</v>
      </c>
      <c r="B9" s="3" t="s">
        <v>35</v>
      </c>
      <c r="C9" s="2" t="s">
        <v>25</v>
      </c>
      <c r="D9" s="4"/>
      <c r="E9" s="4"/>
      <c r="F9" s="4"/>
      <c r="G9" s="3" t="s">
        <v>36</v>
      </c>
      <c r="H9" s="2" t="s">
        <v>37</v>
      </c>
    </row>
    <row r="10" customFormat="false" ht="15" hidden="false" customHeight="false" outlineLevel="0" collapsed="false">
      <c r="A10" s="2" t="s">
        <v>38</v>
      </c>
      <c r="B10" s="3" t="s">
        <v>39</v>
      </c>
      <c r="C10" s="2" t="s">
        <v>25</v>
      </c>
      <c r="D10" s="4"/>
      <c r="E10" s="4"/>
      <c r="F10" s="4"/>
      <c r="G10" s="3"/>
      <c r="H10" s="2" t="s">
        <v>40</v>
      </c>
    </row>
    <row r="11" customFormat="false" ht="15" hidden="false" customHeight="false" outlineLevel="0" collapsed="false">
      <c r="A11" s="2" t="s">
        <v>41</v>
      </c>
      <c r="B11" s="3" t="s">
        <v>42</v>
      </c>
      <c r="C11" s="2" t="s">
        <v>25</v>
      </c>
      <c r="D11" s="4"/>
      <c r="E11" s="4"/>
      <c r="F11" s="4"/>
      <c r="G11" s="3"/>
      <c r="H11" s="2" t="s">
        <v>43</v>
      </c>
    </row>
    <row r="12" customFormat="false" ht="23.85" hidden="false" customHeight="false" outlineLevel="0" collapsed="false">
      <c r="A12" s="2" t="s">
        <v>44</v>
      </c>
      <c r="B12" s="3" t="s">
        <v>45</v>
      </c>
      <c r="C12" s="2" t="s">
        <v>25</v>
      </c>
      <c r="D12" s="4"/>
      <c r="E12" s="4"/>
      <c r="F12" s="4"/>
      <c r="G12" s="3"/>
      <c r="H12" s="2" t="s">
        <v>43</v>
      </c>
    </row>
    <row r="13" customFormat="false" ht="15" hidden="false" customHeight="false" outlineLevel="0" collapsed="false">
      <c r="A13" s="2" t="s">
        <v>46</v>
      </c>
      <c r="B13" s="3" t="s">
        <v>47</v>
      </c>
      <c r="C13" s="2" t="s">
        <v>25</v>
      </c>
      <c r="D13" s="4"/>
      <c r="E13" s="4"/>
      <c r="F13" s="4"/>
      <c r="G13" s="3"/>
      <c r="H13" s="2" t="s">
        <v>43</v>
      </c>
    </row>
    <row r="14" customFormat="false" ht="15" hidden="false" customHeight="false" outlineLevel="0" collapsed="false">
      <c r="A14" s="2" t="s">
        <v>48</v>
      </c>
      <c r="B14" s="3" t="s">
        <v>49</v>
      </c>
      <c r="C14" s="2" t="s">
        <v>25</v>
      </c>
      <c r="D14" s="4"/>
      <c r="E14" s="4"/>
      <c r="F14" s="4"/>
      <c r="G14" s="3" t="s">
        <v>50</v>
      </c>
      <c r="H14" s="2" t="s">
        <v>51</v>
      </c>
    </row>
    <row r="15" customFormat="false" ht="15" hidden="false" customHeight="false" outlineLevel="0" collapsed="false">
      <c r="A15" s="2" t="s">
        <v>52</v>
      </c>
      <c r="B15" s="3" t="s">
        <v>53</v>
      </c>
      <c r="C15" s="2" t="s">
        <v>25</v>
      </c>
      <c r="D15" s="4"/>
      <c r="E15" s="4"/>
      <c r="F15" s="4"/>
      <c r="G15" s="3"/>
      <c r="H15" s="2" t="s">
        <v>54</v>
      </c>
    </row>
    <row r="16" customFormat="false" ht="15" hidden="false" customHeight="false" outlineLevel="0" collapsed="false">
      <c r="A16" s="2" t="s">
        <v>55</v>
      </c>
      <c r="B16" s="3" t="s">
        <v>56</v>
      </c>
      <c r="C16" s="2" t="s">
        <v>25</v>
      </c>
      <c r="D16" s="4"/>
      <c r="E16" s="4"/>
      <c r="F16" s="4"/>
      <c r="G16" s="3"/>
      <c r="H16" s="2" t="s">
        <v>57</v>
      </c>
    </row>
    <row r="17" customFormat="false" ht="23.85" hidden="false" customHeight="false" outlineLevel="0" collapsed="false">
      <c r="A17" s="2" t="s">
        <v>58</v>
      </c>
      <c r="B17" s="3" t="s">
        <v>59</v>
      </c>
      <c r="C17" s="2" t="s">
        <v>60</v>
      </c>
      <c r="D17" s="4"/>
      <c r="E17" s="4"/>
      <c r="F17" s="4"/>
      <c r="G17" s="3" t="s">
        <v>61</v>
      </c>
      <c r="H17" s="2" t="s">
        <v>62</v>
      </c>
    </row>
    <row r="18" customFormat="false" ht="15" hidden="false" customHeight="false" outlineLevel="0" collapsed="false">
      <c r="A18" s="2" t="s">
        <v>63</v>
      </c>
      <c r="B18" s="3" t="s">
        <v>64</v>
      </c>
      <c r="C18" s="2" t="s">
        <v>60</v>
      </c>
      <c r="D18" s="4"/>
      <c r="E18" s="4"/>
      <c r="F18" s="4"/>
      <c r="G18" s="3"/>
      <c r="H18" s="2" t="s">
        <v>65</v>
      </c>
    </row>
    <row r="19" customFormat="false" ht="15" hidden="false" customHeight="false" outlineLevel="0" collapsed="false">
      <c r="A19" s="2" t="s">
        <v>66</v>
      </c>
      <c r="B19" s="3" t="s">
        <v>67</v>
      </c>
      <c r="C19" s="2" t="s">
        <v>68</v>
      </c>
      <c r="D19" s="4"/>
      <c r="E19" s="4" t="s">
        <v>69</v>
      </c>
      <c r="F19" s="4"/>
      <c r="G19" s="3" t="s">
        <v>70</v>
      </c>
      <c r="H19" s="2" t="s">
        <v>71</v>
      </c>
    </row>
    <row r="20" customFormat="false" ht="15" hidden="false" customHeight="false" outlineLevel="0" collapsed="false">
      <c r="A20" s="2" t="s">
        <v>72</v>
      </c>
      <c r="B20" s="3" t="s">
        <v>73</v>
      </c>
      <c r="C20" s="2" t="s">
        <v>68</v>
      </c>
      <c r="D20" s="4"/>
      <c r="E20" s="4"/>
      <c r="F20" s="4"/>
      <c r="G20" s="3"/>
      <c r="H20" s="2" t="s">
        <v>43</v>
      </c>
    </row>
    <row r="21" customFormat="false" ht="15" hidden="false" customHeight="false" outlineLevel="0" collapsed="false">
      <c r="A21" s="2" t="s">
        <v>74</v>
      </c>
      <c r="B21" s="3" t="s">
        <v>75</v>
      </c>
      <c r="C21" s="2" t="s">
        <v>68</v>
      </c>
      <c r="D21" s="4"/>
      <c r="E21" s="4"/>
      <c r="F21" s="4"/>
      <c r="G21" s="3"/>
      <c r="H21" s="2" t="s">
        <v>43</v>
      </c>
    </row>
    <row r="22" customFormat="false" ht="15" hidden="false" customHeight="false" outlineLevel="0" collapsed="false">
      <c r="A22" s="2" t="s">
        <v>76</v>
      </c>
      <c r="B22" s="3" t="s">
        <v>77</v>
      </c>
      <c r="C22" s="2" t="s">
        <v>68</v>
      </c>
      <c r="D22" s="4"/>
      <c r="E22" s="4" t="s">
        <v>78</v>
      </c>
      <c r="F22" s="4"/>
      <c r="G22" s="3" t="s">
        <v>79</v>
      </c>
      <c r="H22" s="2" t="s">
        <v>71</v>
      </c>
    </row>
    <row r="23" customFormat="false" ht="15" hidden="false" customHeight="false" outlineLevel="0" collapsed="false">
      <c r="A23" s="2" t="s">
        <v>80</v>
      </c>
      <c r="B23" s="3" t="s">
        <v>81</v>
      </c>
      <c r="C23" s="2" t="s">
        <v>68</v>
      </c>
      <c r="D23" s="4"/>
      <c r="E23" s="4" t="s">
        <v>82</v>
      </c>
      <c r="F23" s="4"/>
      <c r="G23" s="3" t="s">
        <v>83</v>
      </c>
      <c r="H23" s="2" t="s">
        <v>29</v>
      </c>
    </row>
    <row r="24" customFormat="false" ht="15" hidden="false" customHeight="false" outlineLevel="0" collapsed="false">
      <c r="A24" s="2" t="s">
        <v>84</v>
      </c>
      <c r="B24" s="3" t="s">
        <v>85</v>
      </c>
      <c r="C24" s="2" t="s">
        <v>68</v>
      </c>
      <c r="D24" s="4"/>
      <c r="E24" s="4" t="s">
        <v>82</v>
      </c>
      <c r="F24" s="4"/>
      <c r="G24" s="3"/>
      <c r="H24" s="2" t="s">
        <v>71</v>
      </c>
    </row>
    <row r="25" customFormat="false" ht="15" hidden="false" customHeight="false" outlineLevel="0" collapsed="false">
      <c r="A25" s="2" t="s">
        <v>86</v>
      </c>
      <c r="B25" s="3" t="s">
        <v>87</v>
      </c>
      <c r="C25" s="2" t="s">
        <v>68</v>
      </c>
      <c r="D25" s="4"/>
      <c r="E25" s="4"/>
      <c r="F25" s="4"/>
      <c r="G25" s="3"/>
      <c r="H25" s="2" t="s">
        <v>43</v>
      </c>
    </row>
    <row r="26" customFormat="false" ht="15" hidden="false" customHeight="false" outlineLevel="0" collapsed="false">
      <c r="A26" s="2" t="s">
        <v>88</v>
      </c>
      <c r="B26" s="3" t="s">
        <v>89</v>
      </c>
      <c r="C26" s="2" t="s">
        <v>68</v>
      </c>
      <c r="D26" s="4"/>
      <c r="E26" s="4" t="s">
        <v>90</v>
      </c>
      <c r="F26" s="4"/>
      <c r="G26" s="3"/>
      <c r="H26" s="2" t="s">
        <v>29</v>
      </c>
    </row>
    <row r="27" customFormat="false" ht="15" hidden="false" customHeight="false" outlineLevel="0" collapsed="false">
      <c r="A27" s="2" t="s">
        <v>91</v>
      </c>
      <c r="B27" s="3" t="s">
        <v>92</v>
      </c>
      <c r="C27" s="2" t="s">
        <v>68</v>
      </c>
      <c r="D27" s="4"/>
      <c r="E27" s="4" t="s">
        <v>93</v>
      </c>
      <c r="F27" s="4"/>
      <c r="G27" s="3"/>
      <c r="H27" s="2" t="s">
        <v>29</v>
      </c>
    </row>
    <row r="28" customFormat="false" ht="15" hidden="false" customHeight="false" outlineLevel="0" collapsed="false">
      <c r="A28" s="2" t="s">
        <v>94</v>
      </c>
      <c r="B28" s="3" t="s">
        <v>95</v>
      </c>
      <c r="C28" s="2" t="s">
        <v>68</v>
      </c>
      <c r="D28" s="4"/>
      <c r="E28" s="4" t="s">
        <v>96</v>
      </c>
      <c r="F28" s="4"/>
      <c r="G28" s="3" t="s">
        <v>97</v>
      </c>
      <c r="H28" s="2" t="s">
        <v>98</v>
      </c>
    </row>
    <row r="29" customFormat="false" ht="15" hidden="false" customHeight="false" outlineLevel="0" collapsed="false">
      <c r="A29" s="2" t="s">
        <v>99</v>
      </c>
      <c r="B29" s="3" t="s">
        <v>100</v>
      </c>
      <c r="C29" s="2" t="s">
        <v>68</v>
      </c>
      <c r="D29" s="4"/>
      <c r="E29" s="4"/>
      <c r="F29" s="4"/>
      <c r="G29" s="3"/>
      <c r="H29" s="2" t="s">
        <v>37</v>
      </c>
    </row>
    <row r="30" customFormat="false" ht="15" hidden="false" customHeight="false" outlineLevel="0" collapsed="false">
      <c r="A30" s="2" t="s">
        <v>101</v>
      </c>
      <c r="B30" s="3" t="s">
        <v>102</v>
      </c>
      <c r="C30" s="2" t="s">
        <v>68</v>
      </c>
      <c r="D30" s="4"/>
      <c r="E30" s="4"/>
      <c r="F30" s="4"/>
      <c r="G30" s="3"/>
      <c r="H30" s="2" t="s">
        <v>65</v>
      </c>
    </row>
    <row r="31" customFormat="false" ht="15" hidden="false" customHeight="false" outlineLevel="0" collapsed="false">
      <c r="A31" s="2" t="s">
        <v>103</v>
      </c>
      <c r="B31" s="3" t="s">
        <v>104</v>
      </c>
      <c r="C31" s="2" t="s">
        <v>68</v>
      </c>
      <c r="D31" s="4"/>
      <c r="E31" s="4"/>
      <c r="F31" s="4"/>
      <c r="G31" s="3"/>
      <c r="H31" s="2" t="s">
        <v>29</v>
      </c>
    </row>
    <row r="32" customFormat="false" ht="15" hidden="false" customHeight="false" outlineLevel="0" collapsed="false">
      <c r="A32" s="2" t="s">
        <v>105</v>
      </c>
      <c r="B32" s="3" t="s">
        <v>106</v>
      </c>
      <c r="C32" s="2" t="s">
        <v>68</v>
      </c>
      <c r="D32" s="4"/>
      <c r="E32" s="4" t="s">
        <v>107</v>
      </c>
      <c r="F32" s="4"/>
      <c r="G32" s="3"/>
      <c r="H32" s="2" t="s">
        <v>108</v>
      </c>
    </row>
    <row r="33" customFormat="false" ht="15" hidden="false" customHeight="false" outlineLevel="0" collapsed="false">
      <c r="A33" s="2" t="s">
        <v>109</v>
      </c>
      <c r="B33" s="3" t="s">
        <v>110</v>
      </c>
      <c r="C33" s="2" t="s">
        <v>111</v>
      </c>
      <c r="D33" s="4"/>
      <c r="E33" s="4"/>
      <c r="F33" s="4"/>
      <c r="G33" s="3"/>
      <c r="H33" s="2" t="s">
        <v>65</v>
      </c>
    </row>
    <row r="34" customFormat="false" ht="15" hidden="false" customHeight="false" outlineLevel="0" collapsed="false">
      <c r="A34" s="2" t="s">
        <v>112</v>
      </c>
      <c r="B34" s="3" t="s">
        <v>113</v>
      </c>
      <c r="C34" s="2" t="s">
        <v>111</v>
      </c>
      <c r="D34" s="4"/>
      <c r="E34" s="4"/>
      <c r="F34" s="4"/>
      <c r="G34" s="3"/>
      <c r="H34" s="2" t="s">
        <v>54</v>
      </c>
    </row>
    <row r="35" customFormat="false" ht="15" hidden="false" customHeight="false" outlineLevel="0" collapsed="false">
      <c r="A35" s="2" t="s">
        <v>114</v>
      </c>
      <c r="B35" s="3" t="s">
        <v>115</v>
      </c>
      <c r="C35" s="2" t="s">
        <v>111</v>
      </c>
      <c r="D35" s="4"/>
      <c r="E35" s="4"/>
      <c r="F35" s="4"/>
      <c r="G35" s="3"/>
      <c r="H35" s="2" t="s">
        <v>65</v>
      </c>
    </row>
    <row r="36" customFormat="false" ht="15" hidden="false" customHeight="false" outlineLevel="0" collapsed="false">
      <c r="A36" s="5" t="s">
        <v>116</v>
      </c>
      <c r="B36" s="6" t="s">
        <v>117</v>
      </c>
      <c r="C36" s="7" t="s">
        <v>111</v>
      </c>
      <c r="D36" s="8" t="s">
        <v>15</v>
      </c>
      <c r="E36" s="9" t="s">
        <v>118</v>
      </c>
      <c r="F36" s="9"/>
      <c r="G36" s="6" t="s">
        <v>119</v>
      </c>
      <c r="H36" s="7" t="s">
        <v>18</v>
      </c>
    </row>
    <row r="37" customFormat="false" ht="23.85" hidden="false" customHeight="false" outlineLevel="0" collapsed="false">
      <c r="A37" s="2" t="s">
        <v>120</v>
      </c>
      <c r="B37" s="3" t="s">
        <v>121</v>
      </c>
      <c r="C37" s="2" t="s">
        <v>111</v>
      </c>
      <c r="D37" s="4"/>
      <c r="E37" s="4" t="s">
        <v>122</v>
      </c>
      <c r="F37" s="4"/>
      <c r="G37" s="3" t="s">
        <v>123</v>
      </c>
      <c r="H37" s="2" t="s">
        <v>98</v>
      </c>
    </row>
    <row r="38" customFormat="false" ht="15" hidden="false" customHeight="false" outlineLevel="0" collapsed="false">
      <c r="A38" s="2" t="s">
        <v>124</v>
      </c>
      <c r="B38" s="3" t="s">
        <v>125</v>
      </c>
      <c r="C38" s="2" t="s">
        <v>111</v>
      </c>
      <c r="D38" s="4"/>
      <c r="E38" s="4"/>
      <c r="F38" s="4"/>
      <c r="G38" s="3"/>
      <c r="H38" s="2" t="s">
        <v>126</v>
      </c>
    </row>
    <row r="39" customFormat="false" ht="15" hidden="false" customHeight="false" outlineLevel="0" collapsed="false">
      <c r="A39" s="2" t="s">
        <v>127</v>
      </c>
      <c r="B39" s="3" t="s">
        <v>128</v>
      </c>
      <c r="C39" s="2" t="s">
        <v>111</v>
      </c>
      <c r="D39" s="4"/>
      <c r="E39" s="4"/>
      <c r="F39" s="4"/>
      <c r="G39" s="3"/>
      <c r="H39" s="2" t="s">
        <v>65</v>
      </c>
    </row>
    <row r="40" customFormat="false" ht="15" hidden="false" customHeight="false" outlineLevel="0" collapsed="false">
      <c r="A40" s="2" t="s">
        <v>129</v>
      </c>
      <c r="B40" s="3" t="s">
        <v>130</v>
      </c>
      <c r="C40" s="2" t="s">
        <v>111</v>
      </c>
      <c r="D40" s="4"/>
      <c r="E40" s="4"/>
      <c r="F40" s="4"/>
      <c r="G40" s="3"/>
      <c r="H40" s="2" t="s">
        <v>43</v>
      </c>
    </row>
    <row r="41" customFormat="false" ht="15" hidden="false" customHeight="false" outlineLevel="0" collapsed="false">
      <c r="A41" s="2" t="s">
        <v>131</v>
      </c>
      <c r="B41" s="3" t="s">
        <v>132</v>
      </c>
      <c r="C41" s="2" t="s">
        <v>111</v>
      </c>
      <c r="D41" s="4"/>
      <c r="E41" s="4"/>
      <c r="F41" s="4"/>
      <c r="G41" s="3"/>
      <c r="H41" s="2" t="s">
        <v>65</v>
      </c>
    </row>
    <row r="42" customFormat="false" ht="15" hidden="false" customHeight="false" outlineLevel="0" collapsed="false">
      <c r="A42" s="2" t="s">
        <v>133</v>
      </c>
      <c r="B42" s="3" t="s">
        <v>134</v>
      </c>
      <c r="C42" s="2" t="s">
        <v>111</v>
      </c>
      <c r="D42" s="4"/>
      <c r="E42" s="4"/>
      <c r="F42" s="4"/>
      <c r="G42" s="3"/>
      <c r="H42" s="2" t="s">
        <v>37</v>
      </c>
    </row>
    <row r="43" customFormat="false" ht="15" hidden="false" customHeight="false" outlineLevel="0" collapsed="false">
      <c r="A43" s="2" t="s">
        <v>135</v>
      </c>
      <c r="B43" s="3" t="s">
        <v>136</v>
      </c>
      <c r="C43" s="2" t="s">
        <v>111</v>
      </c>
      <c r="D43" s="4"/>
      <c r="E43" s="4"/>
      <c r="F43" s="4"/>
      <c r="G43" s="3"/>
      <c r="H43" s="2" t="s">
        <v>37</v>
      </c>
    </row>
    <row r="44" customFormat="false" ht="15" hidden="false" customHeight="false" outlineLevel="0" collapsed="false">
      <c r="A44" s="5" t="s">
        <v>137</v>
      </c>
      <c r="B44" s="6" t="s">
        <v>138</v>
      </c>
      <c r="C44" s="7" t="s">
        <v>111</v>
      </c>
      <c r="D44" s="8" t="s">
        <v>15</v>
      </c>
      <c r="E44" s="9" t="s">
        <v>139</v>
      </c>
      <c r="F44" s="9"/>
      <c r="G44" s="6"/>
      <c r="H44" s="7" t="s">
        <v>18</v>
      </c>
    </row>
    <row r="45" customFormat="false" ht="15" hidden="false" customHeight="false" outlineLevel="0" collapsed="false">
      <c r="A45" s="2" t="s">
        <v>140</v>
      </c>
      <c r="B45" s="3" t="s">
        <v>141</v>
      </c>
      <c r="C45" s="2" t="s">
        <v>111</v>
      </c>
      <c r="D45" s="4"/>
      <c r="E45" s="4"/>
      <c r="F45" s="4"/>
      <c r="G45" s="3" t="s">
        <v>142</v>
      </c>
      <c r="H45" s="2" t="s">
        <v>37</v>
      </c>
    </row>
    <row r="46" customFormat="false" ht="15" hidden="false" customHeight="false" outlineLevel="0" collapsed="false">
      <c r="A46" s="2" t="s">
        <v>143</v>
      </c>
      <c r="B46" s="3" t="s">
        <v>144</v>
      </c>
      <c r="C46" s="2" t="s">
        <v>111</v>
      </c>
      <c r="D46" s="4"/>
      <c r="E46" s="4"/>
      <c r="F46" s="4"/>
      <c r="G46" s="3"/>
      <c r="H46" s="2" t="s">
        <v>54</v>
      </c>
    </row>
    <row r="47" customFormat="false" ht="15" hidden="false" customHeight="false" outlineLevel="0" collapsed="false">
      <c r="A47" s="2" t="s">
        <v>145</v>
      </c>
      <c r="B47" s="3" t="s">
        <v>146</v>
      </c>
      <c r="C47" s="2" t="s">
        <v>111</v>
      </c>
      <c r="D47" s="4"/>
      <c r="E47" s="4"/>
      <c r="F47" s="4"/>
      <c r="G47" s="3"/>
      <c r="H47" s="2" t="s">
        <v>147</v>
      </c>
    </row>
    <row r="48" customFormat="false" ht="15" hidden="false" customHeight="false" outlineLevel="0" collapsed="false">
      <c r="A48" s="2" t="s">
        <v>148</v>
      </c>
      <c r="B48" s="3" t="s">
        <v>149</v>
      </c>
      <c r="C48" s="2" t="s">
        <v>111</v>
      </c>
      <c r="D48" s="4"/>
      <c r="E48" s="4"/>
      <c r="F48" s="4"/>
      <c r="G48" s="3" t="s">
        <v>150</v>
      </c>
      <c r="H48" s="2" t="s">
        <v>151</v>
      </c>
    </row>
    <row r="49" customFormat="false" ht="15" hidden="false" customHeight="false" outlineLevel="0" collapsed="false">
      <c r="A49" s="2" t="s">
        <v>152</v>
      </c>
      <c r="B49" s="3" t="s">
        <v>153</v>
      </c>
      <c r="C49" s="2" t="s">
        <v>111</v>
      </c>
      <c r="D49" s="4"/>
      <c r="E49" s="4"/>
      <c r="F49" s="4"/>
      <c r="G49" s="3"/>
      <c r="H49" s="2" t="s">
        <v>62</v>
      </c>
    </row>
    <row r="50" customFormat="false" ht="15" hidden="false" customHeight="false" outlineLevel="0" collapsed="false">
      <c r="A50" s="2" t="s">
        <v>154</v>
      </c>
      <c r="B50" s="3" t="s">
        <v>155</v>
      </c>
      <c r="C50" s="2" t="s">
        <v>156</v>
      </c>
      <c r="D50" s="4"/>
      <c r="E50" s="4"/>
      <c r="F50" s="4"/>
      <c r="G50" s="3"/>
      <c r="H50" s="2" t="s">
        <v>147</v>
      </c>
    </row>
    <row r="51" customFormat="false" ht="15" hidden="false" customHeight="false" outlineLevel="0" collapsed="false">
      <c r="A51" s="2" t="s">
        <v>157</v>
      </c>
      <c r="B51" s="3" t="s">
        <v>158</v>
      </c>
      <c r="C51" s="2" t="s">
        <v>156</v>
      </c>
      <c r="D51" s="4"/>
      <c r="E51" s="4"/>
      <c r="F51" s="4"/>
      <c r="G51" s="3"/>
      <c r="H51" s="2" t="s">
        <v>65</v>
      </c>
    </row>
    <row r="52" customFormat="false" ht="15" hidden="false" customHeight="false" outlineLevel="0" collapsed="false">
      <c r="A52" s="2" t="s">
        <v>159</v>
      </c>
      <c r="B52" s="3" t="s">
        <v>160</v>
      </c>
      <c r="C52" s="2" t="s">
        <v>156</v>
      </c>
      <c r="D52" s="4"/>
      <c r="E52" s="4"/>
      <c r="F52" s="4"/>
      <c r="G52" s="3"/>
      <c r="H52" s="2" t="s">
        <v>65</v>
      </c>
    </row>
    <row r="53" customFormat="false" ht="15" hidden="false" customHeight="false" outlineLevel="0" collapsed="false">
      <c r="A53" s="2" t="s">
        <v>161</v>
      </c>
      <c r="B53" s="3" t="s">
        <v>162</v>
      </c>
      <c r="C53" s="2" t="s">
        <v>156</v>
      </c>
      <c r="D53" s="4"/>
      <c r="E53" s="4"/>
      <c r="F53" s="4"/>
      <c r="G53" s="3" t="s">
        <v>119</v>
      </c>
      <c r="H53" s="2" t="s">
        <v>163</v>
      </c>
    </row>
    <row r="54" customFormat="false" ht="15" hidden="false" customHeight="false" outlineLevel="0" collapsed="false">
      <c r="A54" s="2" t="s">
        <v>164</v>
      </c>
      <c r="B54" s="3" t="s">
        <v>165</v>
      </c>
      <c r="C54" s="2" t="s">
        <v>156</v>
      </c>
      <c r="D54" s="4"/>
      <c r="E54" s="4"/>
      <c r="F54" s="4"/>
      <c r="G54" s="3"/>
      <c r="H54" s="2" t="s">
        <v>166</v>
      </c>
    </row>
    <row r="55" customFormat="false" ht="23.85" hidden="false" customHeight="false" outlineLevel="0" collapsed="false">
      <c r="A55" s="2" t="s">
        <v>167</v>
      </c>
      <c r="B55" s="3" t="s">
        <v>168</v>
      </c>
      <c r="C55" s="2" t="s">
        <v>156</v>
      </c>
      <c r="D55" s="4"/>
      <c r="E55" s="4"/>
      <c r="F55" s="4"/>
      <c r="G55" s="3"/>
      <c r="H55" s="2" t="s">
        <v>169</v>
      </c>
    </row>
    <row r="56" customFormat="false" ht="15" hidden="false" customHeight="false" outlineLevel="0" collapsed="false">
      <c r="A56" s="2" t="s">
        <v>170</v>
      </c>
      <c r="B56" s="3" t="s">
        <v>171</v>
      </c>
      <c r="C56" s="2" t="s">
        <v>156</v>
      </c>
      <c r="D56" s="4"/>
      <c r="E56" s="4"/>
      <c r="F56" s="4"/>
      <c r="G56" s="3"/>
      <c r="H56" s="2" t="s">
        <v>65</v>
      </c>
    </row>
    <row r="57" customFormat="false" ht="15" hidden="false" customHeight="false" outlineLevel="0" collapsed="false">
      <c r="A57" s="2" t="s">
        <v>172</v>
      </c>
      <c r="B57" s="3" t="s">
        <v>173</v>
      </c>
      <c r="C57" s="2" t="s">
        <v>156</v>
      </c>
      <c r="D57" s="4"/>
      <c r="E57" s="4"/>
      <c r="F57" s="4"/>
      <c r="G57" s="3"/>
      <c r="H57" s="2" t="s">
        <v>174</v>
      </c>
    </row>
    <row r="58" customFormat="false" ht="15" hidden="false" customHeight="false" outlineLevel="0" collapsed="false">
      <c r="A58" s="2" t="s">
        <v>175</v>
      </c>
      <c r="B58" s="3" t="s">
        <v>176</v>
      </c>
      <c r="C58" s="2" t="s">
        <v>156</v>
      </c>
      <c r="D58" s="4"/>
      <c r="E58" s="4"/>
      <c r="F58" s="4"/>
      <c r="G58" s="3"/>
      <c r="H58" s="2" t="s">
        <v>147</v>
      </c>
    </row>
    <row r="59" customFormat="false" ht="23.85" hidden="false" customHeight="false" outlineLevel="0" collapsed="false">
      <c r="A59" s="5" t="s">
        <v>177</v>
      </c>
      <c r="B59" s="6" t="s">
        <v>178</v>
      </c>
      <c r="C59" s="7" t="s">
        <v>156</v>
      </c>
      <c r="D59" s="8" t="s">
        <v>15</v>
      </c>
      <c r="E59" s="9"/>
      <c r="F59" s="9"/>
      <c r="G59" s="6" t="s">
        <v>179</v>
      </c>
      <c r="H59" s="7" t="s">
        <v>147</v>
      </c>
    </row>
    <row r="60" customFormat="false" ht="15" hidden="false" customHeight="false" outlineLevel="0" collapsed="false">
      <c r="A60" s="2" t="s">
        <v>180</v>
      </c>
      <c r="B60" s="3" t="s">
        <v>181</v>
      </c>
      <c r="C60" s="2" t="s">
        <v>156</v>
      </c>
      <c r="D60" s="4"/>
      <c r="E60" s="4"/>
      <c r="F60" s="4"/>
      <c r="G60" s="3"/>
      <c r="H60" s="2" t="s">
        <v>65</v>
      </c>
    </row>
    <row r="61" customFormat="false" ht="15" hidden="false" customHeight="false" outlineLevel="0" collapsed="false">
      <c r="A61" s="2" t="s">
        <v>182</v>
      </c>
      <c r="B61" s="3" t="s">
        <v>183</v>
      </c>
      <c r="C61" s="2" t="s">
        <v>156</v>
      </c>
      <c r="D61" s="4"/>
      <c r="E61" s="4"/>
      <c r="F61" s="4"/>
      <c r="G61" s="3"/>
      <c r="H61" s="2" t="s">
        <v>62</v>
      </c>
    </row>
    <row r="62" customFormat="false" ht="15" hidden="false" customHeight="false" outlineLevel="0" collapsed="false">
      <c r="A62" s="2" t="s">
        <v>184</v>
      </c>
      <c r="B62" s="3" t="s">
        <v>185</v>
      </c>
      <c r="C62" s="2" t="s">
        <v>156</v>
      </c>
      <c r="D62" s="4"/>
      <c r="E62" s="4"/>
      <c r="F62" s="4"/>
      <c r="G62" s="3"/>
      <c r="H62" s="2" t="s">
        <v>186</v>
      </c>
    </row>
    <row r="63" customFormat="false" ht="15" hidden="false" customHeight="false" outlineLevel="0" collapsed="false">
      <c r="A63" s="2" t="s">
        <v>187</v>
      </c>
      <c r="B63" s="3" t="s">
        <v>188</v>
      </c>
      <c r="C63" s="2" t="s">
        <v>156</v>
      </c>
      <c r="D63" s="4"/>
      <c r="E63" s="4"/>
      <c r="F63" s="4"/>
      <c r="G63" s="3"/>
      <c r="H63" s="2" t="s">
        <v>62</v>
      </c>
    </row>
    <row r="64" customFormat="false" ht="23.85" hidden="false" customHeight="false" outlineLevel="0" collapsed="false">
      <c r="A64" s="5" t="s">
        <v>189</v>
      </c>
      <c r="B64" s="6" t="s">
        <v>190</v>
      </c>
      <c r="C64" s="7" t="s">
        <v>156</v>
      </c>
      <c r="D64" s="8" t="s">
        <v>15</v>
      </c>
      <c r="E64" s="9"/>
      <c r="F64" s="9"/>
      <c r="G64" s="6" t="s">
        <v>191</v>
      </c>
      <c r="H64" s="7" t="s">
        <v>192</v>
      </c>
    </row>
    <row r="65" customFormat="false" ht="15" hidden="false" customHeight="false" outlineLevel="0" collapsed="false">
      <c r="A65" s="2" t="s">
        <v>193</v>
      </c>
      <c r="B65" s="3" t="s">
        <v>194</v>
      </c>
      <c r="C65" s="2" t="s">
        <v>156</v>
      </c>
      <c r="D65" s="4"/>
      <c r="E65" s="4"/>
      <c r="F65" s="4"/>
      <c r="G65" s="3"/>
      <c r="H65" s="2" t="s">
        <v>65</v>
      </c>
    </row>
    <row r="66" customFormat="false" ht="15" hidden="false" customHeight="false" outlineLevel="0" collapsed="false">
      <c r="A66" s="2" t="s">
        <v>195</v>
      </c>
      <c r="B66" s="3" t="s">
        <v>196</v>
      </c>
      <c r="C66" s="2" t="s">
        <v>197</v>
      </c>
      <c r="D66" s="4"/>
      <c r="E66" s="4"/>
      <c r="F66" s="4"/>
      <c r="G66" s="3"/>
      <c r="H66" s="2" t="s">
        <v>29</v>
      </c>
    </row>
    <row r="67" customFormat="false" ht="15" hidden="false" customHeight="false" outlineLevel="0" collapsed="false">
      <c r="A67" s="2" t="s">
        <v>198</v>
      </c>
      <c r="B67" s="3" t="s">
        <v>199</v>
      </c>
      <c r="C67" s="2" t="s">
        <v>197</v>
      </c>
      <c r="D67" s="4"/>
      <c r="E67" s="4"/>
      <c r="F67" s="4"/>
      <c r="G67" s="3"/>
      <c r="H67" s="2" t="s">
        <v>200</v>
      </c>
    </row>
    <row r="68" customFormat="false" ht="15" hidden="false" customHeight="false" outlineLevel="0" collapsed="false">
      <c r="A68" s="2" t="s">
        <v>201</v>
      </c>
      <c r="B68" s="3" t="s">
        <v>202</v>
      </c>
      <c r="C68" s="2" t="s">
        <v>197</v>
      </c>
      <c r="D68" s="4"/>
      <c r="E68" s="4"/>
      <c r="F68" s="4"/>
      <c r="G68" s="3"/>
      <c r="H68" s="2" t="s">
        <v>29</v>
      </c>
    </row>
    <row r="69" customFormat="false" ht="15" hidden="false" customHeight="false" outlineLevel="0" collapsed="false">
      <c r="A69" s="2" t="s">
        <v>203</v>
      </c>
      <c r="B69" s="3" t="s">
        <v>204</v>
      </c>
      <c r="C69" s="2" t="s">
        <v>197</v>
      </c>
      <c r="D69" s="4"/>
      <c r="E69" s="4"/>
      <c r="F69" s="4"/>
      <c r="G69" s="3"/>
      <c r="H69" s="2" t="s">
        <v>29</v>
      </c>
    </row>
    <row r="70" customFormat="false" ht="15" hidden="false" customHeight="false" outlineLevel="0" collapsed="false">
      <c r="A70" s="2" t="s">
        <v>205</v>
      </c>
      <c r="B70" s="3" t="s">
        <v>206</v>
      </c>
      <c r="C70" s="2" t="s">
        <v>197</v>
      </c>
      <c r="D70" s="4"/>
      <c r="E70" s="4"/>
      <c r="F70" s="4"/>
      <c r="G70" s="3"/>
      <c r="H70" s="2" t="s">
        <v>29</v>
      </c>
    </row>
    <row r="71" customFormat="false" ht="23.85" hidden="false" customHeight="false" outlineLevel="0" collapsed="false">
      <c r="A71" s="2" t="s">
        <v>207</v>
      </c>
      <c r="B71" s="3" t="s">
        <v>208</v>
      </c>
      <c r="C71" s="2" t="s">
        <v>209</v>
      </c>
      <c r="D71" s="4"/>
      <c r="E71" s="4"/>
      <c r="F71" s="4"/>
      <c r="G71" s="3"/>
      <c r="H71" s="2" t="s">
        <v>37</v>
      </c>
    </row>
    <row r="72" customFormat="false" ht="15" hidden="false" customHeight="false" outlineLevel="0" collapsed="false">
      <c r="A72" s="2" t="s">
        <v>210</v>
      </c>
      <c r="B72" s="3" t="s">
        <v>211</v>
      </c>
      <c r="C72" s="2" t="s">
        <v>209</v>
      </c>
      <c r="D72" s="4"/>
      <c r="E72" s="4"/>
      <c r="F72" s="4"/>
      <c r="G72" s="3"/>
      <c r="H72" s="2" t="s">
        <v>37</v>
      </c>
    </row>
    <row r="73" customFormat="false" ht="15" hidden="false" customHeight="false" outlineLevel="0" collapsed="false">
      <c r="A73" s="2" t="s">
        <v>212</v>
      </c>
      <c r="B73" s="3" t="s">
        <v>213</v>
      </c>
      <c r="C73" s="2" t="s">
        <v>209</v>
      </c>
      <c r="D73" s="4"/>
      <c r="E73" s="4"/>
      <c r="F73" s="4"/>
      <c r="G73" s="3"/>
      <c r="H73" s="2" t="s">
        <v>37</v>
      </c>
    </row>
    <row r="74" customFormat="false" ht="15" hidden="false" customHeight="false" outlineLevel="0" collapsed="false">
      <c r="A74" s="2" t="s">
        <v>214</v>
      </c>
      <c r="B74" s="3" t="s">
        <v>215</v>
      </c>
      <c r="C74" s="2" t="s">
        <v>209</v>
      </c>
      <c r="D74" s="4"/>
      <c r="E74" s="4"/>
      <c r="F74" s="4"/>
      <c r="G74" s="3"/>
      <c r="H74" s="2" t="s">
        <v>18</v>
      </c>
    </row>
    <row r="75" customFormat="false" ht="23.85" hidden="false" customHeight="false" outlineLevel="0" collapsed="false">
      <c r="A75" s="2" t="s">
        <v>216</v>
      </c>
      <c r="B75" s="3" t="s">
        <v>215</v>
      </c>
      <c r="C75" s="2" t="s">
        <v>209</v>
      </c>
      <c r="D75" s="4"/>
      <c r="E75" s="4"/>
      <c r="F75" s="4" t="s">
        <v>217</v>
      </c>
      <c r="G75" s="3" t="s">
        <v>218</v>
      </c>
      <c r="H75" s="2" t="s">
        <v>37</v>
      </c>
    </row>
    <row r="76" customFormat="false" ht="15" hidden="false" customHeight="false" outlineLevel="0" collapsed="false">
      <c r="A76" s="2" t="s">
        <v>219</v>
      </c>
      <c r="B76" s="3" t="s">
        <v>220</v>
      </c>
      <c r="C76" s="2" t="s">
        <v>209</v>
      </c>
      <c r="D76" s="4"/>
      <c r="E76" s="4"/>
      <c r="F76" s="4"/>
      <c r="G76" s="3"/>
      <c r="H76" s="2" t="s">
        <v>221</v>
      </c>
    </row>
    <row r="77" customFormat="false" ht="15" hidden="false" customHeight="false" outlineLevel="0" collapsed="false">
      <c r="A77" s="2" t="s">
        <v>222</v>
      </c>
      <c r="B77" s="3" t="s">
        <v>223</v>
      </c>
      <c r="C77" s="2" t="s">
        <v>209</v>
      </c>
      <c r="D77" s="4"/>
      <c r="E77" s="4"/>
      <c r="F77" s="4"/>
      <c r="G77" s="3"/>
      <c r="H77" s="2" t="s">
        <v>37</v>
      </c>
    </row>
    <row r="78" customFormat="false" ht="15" hidden="false" customHeight="false" outlineLevel="0" collapsed="false">
      <c r="A78" s="2" t="s">
        <v>224</v>
      </c>
      <c r="B78" s="3" t="s">
        <v>225</v>
      </c>
      <c r="C78" s="2" t="s">
        <v>209</v>
      </c>
      <c r="D78" s="4"/>
      <c r="E78" s="4"/>
      <c r="F78" s="4"/>
      <c r="G78" s="3"/>
      <c r="H78" s="2" t="s">
        <v>221</v>
      </c>
    </row>
    <row r="79" customFormat="false" ht="15" hidden="false" customHeight="false" outlineLevel="0" collapsed="false">
      <c r="A79" s="2" t="s">
        <v>226</v>
      </c>
      <c r="B79" s="3" t="s">
        <v>227</v>
      </c>
      <c r="C79" s="2" t="s">
        <v>209</v>
      </c>
      <c r="D79" s="4"/>
      <c r="E79" s="4"/>
      <c r="F79" s="4" t="s">
        <v>228</v>
      </c>
      <c r="G79" s="3" t="s">
        <v>229</v>
      </c>
      <c r="H79" s="2" t="s">
        <v>37</v>
      </c>
    </row>
    <row r="80" customFormat="false" ht="15" hidden="false" customHeight="false" outlineLevel="0" collapsed="false">
      <c r="A80" s="2" t="s">
        <v>230</v>
      </c>
      <c r="B80" s="3" t="s">
        <v>231</v>
      </c>
      <c r="C80" s="2" t="s">
        <v>209</v>
      </c>
      <c r="D80" s="4"/>
      <c r="E80" s="4"/>
      <c r="F80" s="4"/>
      <c r="G80" s="3"/>
      <c r="H80" s="2" t="s">
        <v>37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6"/>
  </cols>
  <sheetData>
    <row r="1" customFormat="false" ht="17.35" hidden="false" customHeight="false" outlineLevel="0" collapsed="false">
      <c r="A1" s="10" t="s">
        <v>232</v>
      </c>
    </row>
    <row r="2" customFormat="false" ht="15" hidden="false" customHeight="false" outlineLevel="0" collapsed="false">
      <c r="A2" s="11" t="s">
        <v>233</v>
      </c>
    </row>
    <row r="4" customFormat="false" ht="15" hidden="false" customHeight="false" outlineLevel="0" collapsed="false">
      <c r="A4" s="12" t="s">
        <v>234</v>
      </c>
      <c r="B4" s="12"/>
    </row>
    <row r="5" customFormat="false" ht="15" hidden="false" customHeight="false" outlineLevel="0" collapsed="false">
      <c r="A5" s="13" t="s">
        <v>0</v>
      </c>
      <c r="B5" s="14" t="s">
        <v>235</v>
      </c>
    </row>
    <row r="6" customFormat="false" ht="15" hidden="false" customHeight="false" outlineLevel="0" collapsed="false">
      <c r="A6" s="13" t="s">
        <v>236</v>
      </c>
      <c r="B6" s="14" t="s">
        <v>237</v>
      </c>
    </row>
    <row r="7" customFormat="false" ht="15" hidden="false" customHeight="false" outlineLevel="0" collapsed="false">
      <c r="A7" s="13" t="s">
        <v>238</v>
      </c>
      <c r="B7" s="14" t="s">
        <v>239</v>
      </c>
    </row>
    <row r="8" customFormat="false" ht="15" hidden="false" customHeight="false" outlineLevel="0" collapsed="false">
      <c r="A8" s="13" t="s">
        <v>240</v>
      </c>
      <c r="B8" s="14" t="s">
        <v>241</v>
      </c>
    </row>
    <row r="9" customFormat="false" ht="15" hidden="false" customHeight="false" outlineLevel="0" collapsed="false">
      <c r="A9" s="13" t="s">
        <v>242</v>
      </c>
      <c r="B9" s="14" t="s">
        <v>243</v>
      </c>
    </row>
    <row r="10" customFormat="false" ht="15" hidden="false" customHeight="false" outlineLevel="0" collapsed="false">
      <c r="A10" s="13" t="s">
        <v>244</v>
      </c>
      <c r="B10" s="14" t="s">
        <v>245</v>
      </c>
    </row>
    <row r="11" customFormat="false" ht="15" hidden="false" customHeight="false" outlineLevel="0" collapsed="false">
      <c r="A11" s="13" t="s">
        <v>246</v>
      </c>
      <c r="B11" s="14" t="s">
        <v>247</v>
      </c>
    </row>
    <row r="12" customFormat="false" ht="15" hidden="false" customHeight="false" outlineLevel="0" collapsed="false">
      <c r="A12" s="13" t="s">
        <v>248</v>
      </c>
      <c r="B12" s="14" t="s">
        <v>249</v>
      </c>
    </row>
    <row r="14" customFormat="false" ht="15" hidden="false" customHeight="false" outlineLevel="0" collapsed="false">
      <c r="A14" s="12" t="s">
        <v>250</v>
      </c>
      <c r="B14" s="12"/>
    </row>
    <row r="15" customFormat="false" ht="15" hidden="false" customHeight="false" outlineLevel="0" collapsed="false">
      <c r="A15" s="13" t="s">
        <v>251</v>
      </c>
      <c r="B15" s="14" t="s">
        <v>252</v>
      </c>
    </row>
    <row r="16" customFormat="false" ht="15" hidden="false" customHeight="false" outlineLevel="0" collapsed="false">
      <c r="A16" s="13" t="s">
        <v>253</v>
      </c>
      <c r="B16" s="14" t="s">
        <v>254</v>
      </c>
    </row>
    <row r="17" customFormat="false" ht="15" hidden="false" customHeight="false" outlineLevel="0" collapsed="false">
      <c r="A17" s="13" t="s">
        <v>255</v>
      </c>
      <c r="B17" s="14" t="s">
        <v>256</v>
      </c>
    </row>
    <row r="18" customFormat="false" ht="15" hidden="false" customHeight="false" outlineLevel="0" collapsed="false">
      <c r="A18" s="13" t="s">
        <v>257</v>
      </c>
      <c r="B18" s="14" t="s">
        <v>258</v>
      </c>
    </row>
    <row r="19" customFormat="false" ht="15" hidden="false" customHeight="false" outlineLevel="0" collapsed="false">
      <c r="A19" s="13" t="s">
        <v>259</v>
      </c>
      <c r="B19" s="14" t="s">
        <v>260</v>
      </c>
    </row>
    <row r="20" customFormat="false" ht="23.85" hidden="false" customHeight="false" outlineLevel="0" collapsed="false">
      <c r="A20" s="13" t="s">
        <v>261</v>
      </c>
      <c r="B20" s="14" t="s">
        <v>262</v>
      </c>
    </row>
    <row r="21" customFormat="false" ht="23.85" hidden="false" customHeight="false" outlineLevel="0" collapsed="false">
      <c r="A21" s="13" t="s">
        <v>263</v>
      </c>
      <c r="B21" s="14" t="s">
        <v>264</v>
      </c>
    </row>
    <row r="23" customFormat="false" ht="15" hidden="false" customHeight="false" outlineLevel="0" collapsed="false">
      <c r="A23" s="12" t="s">
        <v>265</v>
      </c>
      <c r="B23" s="12"/>
    </row>
    <row r="24" customFormat="false" ht="15" hidden="false" customHeight="false" outlineLevel="0" collapsed="false">
      <c r="A24" s="13" t="s">
        <v>266</v>
      </c>
      <c r="B24" s="14" t="s">
        <v>267</v>
      </c>
    </row>
    <row r="25" customFormat="false" ht="23.85" hidden="false" customHeight="false" outlineLevel="0" collapsed="false">
      <c r="A25" s="13" t="s">
        <v>268</v>
      </c>
      <c r="B25" s="14" t="s">
        <v>269</v>
      </c>
    </row>
    <row r="27" customFormat="false" ht="15" hidden="false" customHeight="false" outlineLevel="0" collapsed="false">
      <c r="A27" s="12" t="s">
        <v>270</v>
      </c>
      <c r="B27" s="12"/>
    </row>
    <row r="28" customFormat="false" ht="35.05" hidden="false" customHeight="true" outlineLevel="0" collapsed="false">
      <c r="A28" s="15" t="s">
        <v>271</v>
      </c>
      <c r="B28" s="15"/>
    </row>
    <row r="30" customFormat="false" ht="15" hidden="false" customHeight="false" outlineLevel="0" collapsed="false">
      <c r="A30" s="12" t="s">
        <v>272</v>
      </c>
      <c r="B30" s="12"/>
    </row>
    <row r="31" customFormat="false" ht="15" hidden="false" customHeight="false" outlineLevel="0" collapsed="false">
      <c r="A31" s="13" t="s">
        <v>273</v>
      </c>
      <c r="B31" s="14" t="n">
        <f aca="false">COUNTA('Dialog Members'!A2:A200)</f>
        <v>79</v>
      </c>
    </row>
    <row r="32" customFormat="false" ht="15" hidden="false" customHeight="false" outlineLevel="0" collapsed="false">
      <c r="A32" s="13" t="s">
        <v>274</v>
      </c>
      <c r="B32" s="14" t="n">
        <f aca="false">COUNTIF('Dialog Members'!D2:D200,"Yes")</f>
        <v>5</v>
      </c>
    </row>
    <row r="34" customFormat="false" ht="15" hidden="false" customHeight="false" outlineLevel="0" collapsed="false">
      <c r="A34" s="12" t="s">
        <v>275</v>
      </c>
      <c r="B34" s="12"/>
    </row>
    <row r="35" customFormat="false" ht="23.85" hidden="false" customHeight="false" outlineLevel="0" collapsed="false">
      <c r="A35" s="13" t="s">
        <v>276</v>
      </c>
      <c r="B35" s="14" t="s">
        <v>277</v>
      </c>
    </row>
    <row r="36" customFormat="false" ht="23.85" hidden="false" customHeight="false" outlineLevel="0" collapsed="false">
      <c r="A36" s="13" t="s">
        <v>278</v>
      </c>
      <c r="B36" s="14" t="s">
        <v>279</v>
      </c>
    </row>
  </sheetData>
  <mergeCells count="7">
    <mergeCell ref="A4:B4"/>
    <mergeCell ref="A14:B14"/>
    <mergeCell ref="A23:B23"/>
    <mergeCell ref="A27:B27"/>
    <mergeCell ref="A28:B28"/>
    <mergeCell ref="A30:B30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2026-06-19T21:08:08Z</dcterms:created>
  <dc:creator>openpyxl</dc:creator>
  <dc:description/>
  <dc:language>en-US</dc:language>
  <cp:lastModifiedBy/>
  <dcterms:modified xsi:type="dcterms:W3CDTF">2026-06-19T21:08:08Z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